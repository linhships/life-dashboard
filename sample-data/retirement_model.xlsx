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Assumptions" state="visible" r:id="rId4"/>
    <sheet sheetId="2" name="Projection" state="visible" r:id="rId5"/>
    <sheet sheetId="3" name="Bridge to 57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<sst xmlns="http://schemas.openxmlformats.org/spreadsheetml/2006/main" count="97" uniqueCount="91">
  <si>
    <t>Coast FIRE Retirement Model — Assumptions</t>
  </si>
  <si>
    <t>Personal</t>
  </si>
  <si>
    <t>Current age</t>
  </si>
  <si>
    <t>As of 2026 (born 1989)</t>
  </si>
  <si>
    <t>Target retirement age</t>
  </si>
  <si>
    <t>When you stop working</t>
  </si>
  <si>
    <t>SIPP access age</t>
  </si>
  <si>
    <t>Earliest UK private pension access (current rules)</t>
  </si>
  <si>
    <t>State pension age</t>
  </si>
  <si>
    <t>Current UK State Pension age</t>
  </si>
  <si>
    <t>State pension (£/yr, today's terms)</t>
  </si>
  <si>
    <t>Approx full new State Pension, adjust as needed</t>
  </si>
  <si>
    <t>Life expectancy / plan to age</t>
  </si>
  <si>
    <t>Horizon for drawdown sustainability</t>
  </si>
  <si>
    <t>Growth &amp; Spending</t>
  </si>
  <si>
    <t>Real investment growth rate (%/yr)</t>
  </si>
  <si>
    <t>After inflation, applies to ISA/GIA/SIPP</t>
  </si>
  <si>
    <t>Desired annual retirement spending (£, today's terms)</t>
  </si>
  <si>
    <t>Your target spend in retirement</t>
  </si>
  <si>
    <t>Safe withdrawal rate — bridge phase (%)</t>
  </si>
  <si>
    <t>Used implicitly via direct spend-down ages 50-57</t>
  </si>
  <si>
    <t>Safe withdrawal rate — long retirement (%)</t>
  </si>
  <si>
    <t>Applied to SIPP pot at 57 for 40yr+ horizon</t>
  </si>
  <si>
    <t>Starting Balances (Today)</t>
  </si>
  <si>
    <t>ISA — current balance</t>
  </si>
  <si>
    <t>Stocks &amp; shares ISA</t>
  </si>
  <si>
    <t>GIA — current balance</t>
  </si>
  <si>
    <t>General investment account</t>
  </si>
  <si>
    <t>SIPP — account 1</t>
  </si>
  <si>
    <t>SIPP — account 2</t>
  </si>
  <si>
    <t>SIPP — combined total</t>
  </si>
  <si>
    <t>Contribution Plan (Annual, while still contributing)</t>
  </si>
  <si>
    <t>ISA annual contribution while contributing (£)</t>
  </si>
  <si>
    <t>UK ISA allowance is £20,000/yr</t>
  </si>
  <si>
    <t>ISA — years you plan to contribute</t>
  </si>
  <si>
    <t>Set this; see Coast Plan sheet to test different values</t>
  </si>
  <si>
    <t>GIA annual contribution while contributing (£)</t>
  </si>
  <si>
    <t>Optional — extra GIA saving each year</t>
  </si>
  <si>
    <t>GIA — years you plan to contribute</t>
  </si>
  <si>
    <t>SIPP annual contribution while contributing (£)</t>
  </si>
  <si>
    <t>Net contribution incl. tax relief — capped by your annual allowance</t>
  </si>
  <si>
    <t>SIPP — years you plan to contribute</t>
  </si>
  <si>
    <t>Note: yellow cells are the ones to experiment with. Change 'years you plan to contribute'</t>
  </si>
  <si>
    <t>for each account and watch the Projection and Summary sheets update.</t>
  </si>
  <si>
    <t>Year-by-Year Projection — Age 37 to Age 50 (then bridge to 57)</t>
  </si>
  <si>
    <t>Year</t>
  </si>
  <si>
    <t>Age</t>
  </si>
  <si>
    <t>ISA Start</t>
  </si>
  <si>
    <t>ISA Contrib?</t>
  </si>
  <si>
    <t>ISA End</t>
  </si>
  <si>
    <t>GIA Start</t>
  </si>
  <si>
    <t>GIA Contrib?</t>
  </si>
  <si>
    <t>GIA End</t>
  </si>
  <si>
    <t>SIPP Start</t>
  </si>
  <si>
    <t>SIPP Contrib?</t>
  </si>
  <si>
    <t>SIPP End</t>
  </si>
  <si>
    <t>Age 50 totals:</t>
  </si>
  <si>
    <t>ISA</t>
  </si>
  <si>
    <t>GIA</t>
  </si>
  <si>
    <t>SIPP</t>
  </si>
  <si>
    <t>Bridge Phase — Age 50 to 57 (drawing down ISA+GIA for spending, SIPP coasting untouched)</t>
  </si>
  <si>
    <t>ISA+GIA Start</t>
  </si>
  <si>
    <t>Spending</t>
  </si>
  <si>
    <t>ISA+GIA End</t>
  </si>
  <si>
    <t>At age 57:</t>
  </si>
  <si>
    <t>ISA+GIA remaining</t>
  </si>
  <si>
    <t>SIPP value</t>
  </si>
  <si>
    <t>Coast FIRE Summary</t>
  </si>
  <si>
    <t>Result</t>
  </si>
  <si>
    <t>ISA + GIA at age 50</t>
  </si>
  <si>
    <t>Your bridge-period pot</t>
  </si>
  <si>
    <t>SIPP at age 50 (still locked)</t>
  </si>
  <si>
    <t>Continues growing untouched until 57</t>
  </si>
  <si>
    <t>ISA+GIA remaining at age 57 (after 7yrs spending)</t>
  </si>
  <si>
    <t>Should be ≥ 0; if negative, bridge fails</t>
  </si>
  <si>
    <t>SIPP value at age 57</t>
  </si>
  <si>
    <t>Pot available to draw from age 57</t>
  </si>
  <si>
    <t>Sustainable income from SIPP at 57+ (at chosen SWR)</t>
  </si>
  <si>
    <t>Using long-horizon safe withdrawal rate</t>
  </si>
  <si>
    <t>Sustainable income from SIPP + State Pension (67+)</t>
  </si>
  <si>
    <t>After state pension begins</t>
  </si>
  <si>
    <t>Target annual spend</t>
  </si>
  <si>
    <t>Your stated goal</t>
  </si>
  <si>
    <t>Shortfall / Surplus vs target (SIPP-only income, 57-67)</t>
  </si>
  <si>
    <t>Negative = shortfall, needs ISA top-up or lower spend</t>
  </si>
  <si>
    <t>How to use this model</t>
  </si>
  <si>
    <t>1. Go to the Assumptions tab and adjust the yellow cells (years you plan to contribute to ISA/GIA/SIPP).</t>
  </si>
  <si>
    <t>2. The Projection tab shows year-by-year growth from today to age 50.</t>
  </si>
  <si>
    <t>3. The 'Bridge to 57' tab shows what happens as you spend down ISA+GIA between 50-57 while SIPP coasts.</t>
  </si>
  <si>
    <t>4. This Summary tab shows whether you hit your target. Aim for the Shortfall/Surplus line to be ≥ £0.</t>
  </si>
  <si>
    <t>5. Try reducing 'SIPP years you plan to contribute' until the shortfall just turns negative — that's your minimum.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</si>
</sst>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£#,##0;&quot;(£&quot;#,##0);-"/>
    <numFmt numFmtId="165" formatCode="0.0%"/>
  </numFmts>
  <fonts count="11" x14ac:knownFonts="1">
    <font>
      <color theme="1"/>
      <family val="2"/>
      <scheme val="minor"/>
      <sz val="11"/>
      <name val="Calibri"/>
    </font>
    <font>
      <b/>
      <charset val="1"/>
      <sz val="14"/>
      <name val="Cambria"/>
    </font>
    <font>
      <b/>
      <charset val="1"/>
      <sz val="11"/>
      <name val="Cambria"/>
    </font>
    <font>
      <charset val="1"/>
      <color rgb="FF0000FF"/>
      <sz val="11"/>
      <name val="Cambria"/>
    </font>
    <font>
      <i/>
      <charset val="1"/>
      <sz val="9"/>
      <name val="Cambria"/>
    </font>
    <font>
      <i/>
      <charset val="1"/>
      <color rgb="FFC00000"/>
      <sz val="9"/>
      <name val="Cambria"/>
    </font>
    <font>
      <b/>
      <charset val="1"/>
      <sz val="13"/>
      <name val="Cambria"/>
    </font>
    <font>
      <b/>
      <charset val="1"/>
      <color rgb="FFFFFFFF"/>
      <sz val="11"/>
      <name val="Cambria"/>
    </font>
    <font>
      <charset val="1"/>
      <color theme="1"/>
      <family val="2"/>
      <sz val="11"/>
      <name val="Calibri"/>
    </font>
    <font>
      <charset val="1"/>
      <color rgb="FF000000"/>
      <sz val="11"/>
      <name val="Cambria"/>
    </font>
    <font>
      <i/>
      <charset val="1"/>
      <sz val="1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164" fontId="3" fillId="0" borderId="0" xfId="0" applyNumberFormat="1" applyFont="1" applyAlignment="1">
      <alignment vertical="bottom"/>
    </xf>
    <xf numFmtId="165" fontId="3" fillId="0" borderId="0" xfId="0" applyNumberFormat="1" applyFont="1" applyAlignment="1">
      <alignment vertical="bottom"/>
    </xf>
    <xf numFmtId="0" fontId="2" fillId="0" borderId="0" xfId="0" applyFont="1" applyAlignment="1">
      <alignment vertical="bottom"/>
    </xf>
    <xf numFmtId="164" fontId="2" fillId="0" borderId="0" xfId="0" applyNumberFormat="1" applyFont="1" applyAlignment="1">
      <alignment vertical="bottom"/>
    </xf>
    <xf numFmtId="164" fontId="3" fillId="3" borderId="0" xfId="0" applyNumberFormat="1" applyFont="1" applyFill="1" applyAlignment="1">
      <alignment vertical="bottom"/>
    </xf>
    <xf numFmtId="0" fontId="3" fillId="3" borderId="0" xfId="0" applyFont="1" applyFill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4" borderId="0" xfId="0" applyFont="1" applyFill="1" applyAlignment="1">
      <alignment horizontal="center" vertical="bottom"/>
    </xf>
    <xf numFmtId="0" fontId="8" fillId="0" borderId="1" xfId="0" applyFont="1" applyBorder="1" applyAlignment="1">
      <alignment vertical="bottom"/>
    </xf>
    <xf numFmtId="0" fontId="8" fillId="0" borderId="1" xfId="0" applyFont="1" applyBorder="1" applyAlignment="1">
      <alignment horizontal="center" vertical="bottom"/>
    </xf>
    <xf numFmtId="164" fontId="8" fillId="0" borderId="1" xfId="0" applyNumberFormat="1" applyFont="1" applyBorder="1" applyAlignment="1">
      <alignment vertical="bottom"/>
    </xf>
    <xf numFmtId="0" fontId="8" fillId="2" borderId="0" xfId="0" applyFont="1" applyFill="1" applyAlignment="1">
      <alignment vertical="bottom"/>
    </xf>
    <xf numFmtId="164" fontId="9" fillId="0" borderId="0" xfId="0" applyNumberFormat="1" applyFont="1" applyAlignment="1">
      <alignment vertical="bottom"/>
    </xf>
    <xf numFmtId="0" fontId="10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34" customWidth="1"/>
    <col min="2" max="2" width="16" customWidth="1"/>
    <col min="3" max="3" width="50" customWidth="1"/>
  </cols>
  <sheetData>
    <row r="1" ht="17.35" customHeight="1" spans="1:3" x14ac:dyDescent="0.25">
      <c r="A1" s="1" t="s">
        <v>0</v>
      </c>
      <c r="B1" s="1"/>
      <c r="C1" s="1"/>
    </row>
    <row r="3" ht="15" customHeight="1" spans="1:3" x14ac:dyDescent="0.25">
      <c r="A3" s="2" t="s">
        <v>1</v>
      </c>
      <c r="B3" s="2"/>
      <c r="C3" s="2"/>
    </row>
    <row r="4" ht="15" customHeight="1" spans="1:3" x14ac:dyDescent="0.25">
      <c r="A4" t="s">
        <v>2</v>
      </c>
      <c r="B4" s="3">
        <v>34</v>
      </c>
      <c r="C4" s="4" t="s">
        <v>3</v>
      </c>
    </row>
    <row r="5" ht="15" customHeight="1" spans="1:3" x14ac:dyDescent="0.25">
      <c r="A5" t="s">
        <v>4</v>
      </c>
      <c r="B5" s="3">
        <v>55</v>
      </c>
      <c r="C5" s="4" t="s">
        <v>5</v>
      </c>
    </row>
    <row r="6" ht="15" customHeight="1" spans="1:3" x14ac:dyDescent="0.25">
      <c r="A6" t="s">
        <v>6</v>
      </c>
      <c r="B6" s="3">
        <v>57</v>
      </c>
      <c r="C6" s="4" t="s">
        <v>7</v>
      </c>
    </row>
    <row r="7" ht="15" customHeight="1" spans="1:3" x14ac:dyDescent="0.25">
      <c r="A7" t="s">
        <v>8</v>
      </c>
      <c r="B7" s="3">
        <v>67</v>
      </c>
      <c r="C7" s="4" t="s">
        <v>9</v>
      </c>
    </row>
    <row r="8" ht="15" customHeight="1" spans="1:3" x14ac:dyDescent="0.25">
      <c r="A8" t="s">
        <v>10</v>
      </c>
      <c r="B8" s="5">
        <v>11500</v>
      </c>
      <c r="C8" s="4" t="s">
        <v>11</v>
      </c>
    </row>
    <row r="9" ht="15" customHeight="1" spans="1:3" x14ac:dyDescent="0.25">
      <c r="A9" t="s">
        <v>12</v>
      </c>
      <c r="B9" s="3">
        <v>90</v>
      </c>
      <c r="C9" s="4" t="s">
        <v>13</v>
      </c>
    </row>
    <row r="11" ht="15" customHeight="1" spans="1:3" x14ac:dyDescent="0.25">
      <c r="A11" s="2" t="s">
        <v>14</v>
      </c>
      <c r="B11" s="2"/>
      <c r="C11" s="2"/>
    </row>
    <row r="12" ht="15" customHeight="1" spans="1:3" x14ac:dyDescent="0.25">
      <c r="A12" t="s">
        <v>15</v>
      </c>
      <c r="B12" s="6">
        <v>0.05</v>
      </c>
      <c r="C12" s="4" t="s">
        <v>16</v>
      </c>
    </row>
    <row r="13" ht="15" customHeight="1" spans="1:3" x14ac:dyDescent="0.25">
      <c r="A13" t="s">
        <v>17</v>
      </c>
      <c r="B13" s="5">
        <v>45000</v>
      </c>
      <c r="C13" s="4" t="s">
        <v>18</v>
      </c>
    </row>
    <row r="14" ht="15" customHeight="1" spans="1:3" x14ac:dyDescent="0.25">
      <c r="A14" t="s">
        <v>19</v>
      </c>
      <c r="B14" s="6">
        <v>0.04</v>
      </c>
      <c r="C14" s="4" t="s">
        <v>20</v>
      </c>
    </row>
    <row r="15" ht="15" customHeight="1" spans="1:3" x14ac:dyDescent="0.25">
      <c r="A15" t="s">
        <v>21</v>
      </c>
      <c r="B15" s="6">
        <v>0.035</v>
      </c>
      <c r="C15" s="4" t="s">
        <v>22</v>
      </c>
    </row>
    <row r="17" ht="15" customHeight="1" spans="1:3" x14ac:dyDescent="0.25">
      <c r="A17" s="2" t="s">
        <v>23</v>
      </c>
      <c r="B17" s="2"/>
      <c r="C17" s="2"/>
    </row>
    <row r="18" ht="15" customHeight="1" spans="1:3" x14ac:dyDescent="0.25">
      <c r="A18" t="s">
        <v>24</v>
      </c>
      <c r="B18" s="5">
        <v>45000</v>
      </c>
      <c r="C18" s="4" t="s">
        <v>25</v>
      </c>
    </row>
    <row r="19" ht="15" customHeight="1" spans="1:3" x14ac:dyDescent="0.25">
      <c r="A19" t="s">
        <v>26</v>
      </c>
      <c r="B19" s="5">
        <v>12000</v>
      </c>
      <c r="C19" s="4" t="s">
        <v>27</v>
      </c>
    </row>
    <row r="20" ht="15" customHeight="1" spans="1:3" x14ac:dyDescent="0.25">
      <c r="A20" t="s">
        <v>28</v>
      </c>
      <c r="B20" s="5">
        <v>38000</v>
      </c>
      <c r="C20" s="4"/>
    </row>
    <row r="21" ht="15" customHeight="1" spans="1:3" x14ac:dyDescent="0.25">
      <c r="A21" t="s">
        <v>29</v>
      </c>
      <c r="B21" s="5">
        <v>51000</v>
      </c>
      <c r="C21" s="4"/>
    </row>
    <row r="22" ht="15" customHeight="1" spans="1:2" x14ac:dyDescent="0.25">
      <c r="A22" s="7" t="s">
        <v>30</v>
      </c>
      <c r="B22" s="8">
        <f>B20+B21</f>
        <v>257000</v>
      </c>
    </row>
    <row r="24" ht="15" customHeight="1" spans="1:3" x14ac:dyDescent="0.25">
      <c r="A24" s="2" t="s">
        <v>31</v>
      </c>
      <c r="B24" s="2"/>
      <c r="C24" s="2"/>
    </row>
    <row r="25" ht="15" customHeight="1" spans="1:3" x14ac:dyDescent="0.25">
      <c r="A25" t="s">
        <v>32</v>
      </c>
      <c r="B25" s="9">
        <v>20000</v>
      </c>
      <c r="C25" s="4" t="s">
        <v>33</v>
      </c>
    </row>
    <row r="26" ht="15" customHeight="1" spans="1:3" x14ac:dyDescent="0.25">
      <c r="A26" t="s">
        <v>34</v>
      </c>
      <c r="B26" s="10">
        <v>2</v>
      </c>
      <c r="C26" s="4" t="s">
        <v>35</v>
      </c>
    </row>
    <row r="27" ht="15" customHeight="1" spans="1:3" x14ac:dyDescent="0.25">
      <c r="A27" t="s">
        <v>36</v>
      </c>
      <c r="B27" s="9">
        <v>0</v>
      </c>
      <c r="C27" s="4" t="s">
        <v>37</v>
      </c>
    </row>
    <row r="28" ht="15" customHeight="1" spans="1:3" x14ac:dyDescent="0.25">
      <c r="A28" t="s">
        <v>38</v>
      </c>
      <c r="B28" s="10">
        <v>0</v>
      </c>
      <c r="C28" s="4" t="s">
        <v>35</v>
      </c>
    </row>
    <row r="29" ht="15" customHeight="1" spans="1:3" x14ac:dyDescent="0.25">
      <c r="A29" t="s">
        <v>39</v>
      </c>
      <c r="B29" s="9">
        <v>8000</v>
      </c>
      <c r="C29" s="4" t="s">
        <v>40</v>
      </c>
    </row>
    <row r="30" ht="15" customHeight="1" spans="1:3" x14ac:dyDescent="0.25">
      <c r="A30" t="s">
        <v>41</v>
      </c>
      <c r="B30" s="10">
        <v>4</v>
      </c>
      <c r="C30" s="4" t="s">
        <v>35</v>
      </c>
    </row>
    <row r="32" ht="15" customHeight="1" spans="1:1" x14ac:dyDescent="0.25">
      <c r="A32" s="11" t="s">
        <v>42</v>
      </c>
    </row>
    <row r="33" ht="15" customHeight="1" spans="1:1" x14ac:dyDescent="0.25">
      <c r="A33" s="11" t="s">
        <v>43</v>
      </c>
    </row>
  </sheetData>
  <mergeCells count="5">
    <mergeCell ref="A1:C1"/>
    <mergeCell ref="A3:C3"/>
    <mergeCell ref="A11:C11"/>
    <mergeCell ref="A17:C17"/>
    <mergeCell ref="A24:C24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2" width="8" customWidth="1"/>
    <col min="3" max="4" width="16" customWidth="1"/>
    <col min="5" max="5" width="14" customWidth="1"/>
    <col min="6" max="6" width="16" customWidth="1"/>
    <col min="7" max="8" width="14" customWidth="1"/>
    <col min="9" max="9" width="16" customWidth="1"/>
    <col min="10" max="11" width="14" customWidth="1"/>
  </cols>
  <sheetData>
    <row r="1" ht="16.15" customHeight="1" spans="1:10" x14ac:dyDescent="0.25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</row>
    <row r="3" ht="15" customHeight="1" spans="1:11" x14ac:dyDescent="0.25">
      <c r="A3" s="13" t="s">
        <v>45</v>
      </c>
      <c r="B3" s="13" t="s">
        <v>46</v>
      </c>
      <c r="C3" s="13" t="s">
        <v>47</v>
      </c>
      <c r="D3" s="13" t="s">
        <v>48</v>
      </c>
      <c r="E3" s="13" t="s">
        <v>49</v>
      </c>
      <c r="F3" s="13" t="s">
        <v>50</v>
      </c>
      <c r="G3" s="13" t="s">
        <v>51</v>
      </c>
      <c r="H3" s="13" t="s">
        <v>52</v>
      </c>
      <c r="I3" s="13" t="s">
        <v>53</v>
      </c>
      <c r="J3" s="13" t="s">
        <v>54</v>
      </c>
      <c r="K3" s="13" t="s">
        <v>55</v>
      </c>
    </row>
    <row r="4" ht="15" customHeight="1" spans="1:11" x14ac:dyDescent="0.25">
      <c r="A4" s="14">
        <f>YEAR(TODAY())</f>
        <v>2026</v>
      </c>
      <c r="B4" s="15">
        <f>Assumptions!$B$4+0</f>
        <v>37</v>
      </c>
      <c r="C4" s="16">
        <f>Assumptions!$B$18</f>
        <v>156000</v>
      </c>
      <c r="D4" s="16">
        <f>IF(0&lt;Assumptions!$B$26,Assumptions!$B$25,0)</f>
        <v>20000</v>
      </c>
      <c r="E4" s="16">
        <f>(C4+D4)*(1+Assumptions!$B$12)</f>
        <v>184800</v>
      </c>
      <c r="F4" s="16">
        <f>Assumptions!$B$19</f>
        <v>60000</v>
      </c>
      <c r="G4" s="16">
        <f>IF(0&lt;Assumptions!$B$28,Assumptions!$B$27,0)</f>
        <v>0</v>
      </c>
      <c r="H4" s="16">
        <f>(F4+G4)*(1+Assumptions!$B$12)</f>
        <v>63000</v>
      </c>
      <c r="I4" s="16">
        <f>Assumptions!$B$22</f>
        <v>257000</v>
      </c>
      <c r="J4" s="16">
        <f>IF(0&lt;Assumptions!$B$30,Assumptions!$B$29,0)</f>
        <v>10000</v>
      </c>
      <c r="K4" s="16">
        <f>(I4+J4)*(1+Assumptions!$B$12)</f>
        <v>280350</v>
      </c>
    </row>
    <row r="5" ht="15" customHeight="1" spans="1:11" x14ac:dyDescent="0.25">
      <c r="A5" s="14">
        <f>YEAR(TODAY())+1</f>
        <v>2027</v>
      </c>
      <c r="B5" s="15">
        <f>Assumptions!$B$4+1</f>
        <v>38</v>
      </c>
      <c r="C5" s="16">
        <f>E4</f>
        <v>184800</v>
      </c>
      <c r="D5" s="16">
        <f>IF(1&lt;Assumptions!$B$26,Assumptions!$B$25,0)</f>
        <v>20000</v>
      </c>
      <c r="E5" s="16">
        <f>(C5+D5)*(1+Assumptions!$B$12)</f>
        <v>215040</v>
      </c>
      <c r="F5" s="16">
        <f>H4</f>
        <v>63000</v>
      </c>
      <c r="G5" s="16">
        <f>IF(1&lt;Assumptions!$B$28,Assumptions!$B$27,0)</f>
        <v>0</v>
      </c>
      <c r="H5" s="16">
        <f>(F5+G5)*(1+Assumptions!$B$12)</f>
        <v>66150</v>
      </c>
      <c r="I5" s="16">
        <f>K4</f>
        <v>280350</v>
      </c>
      <c r="J5" s="16">
        <f>IF(1&lt;Assumptions!$B$30,Assumptions!$B$29,0)</f>
        <v>10000</v>
      </c>
      <c r="K5" s="16">
        <f>(I5+J5)*(1+Assumptions!$B$12)</f>
        <v>304867.5</v>
      </c>
    </row>
    <row r="6" ht="15" customHeight="1" spans="1:11" x14ac:dyDescent="0.25">
      <c r="A6" s="14">
        <f>YEAR(TODAY())+2</f>
        <v>2028</v>
      </c>
      <c r="B6" s="15">
        <f>Assumptions!$B$4+2</f>
        <v>39</v>
      </c>
      <c r="C6" s="16">
        <f>E5</f>
        <v>215040</v>
      </c>
      <c r="D6" s="16">
        <f>IF(2&lt;Assumptions!$B$26,Assumptions!$B$25,0)</f>
        <v>20000</v>
      </c>
      <c r="E6" s="16">
        <f>(C6+D6)*(1+Assumptions!$B$12)</f>
        <v>246792</v>
      </c>
      <c r="F6" s="16">
        <f>H5</f>
        <v>66150</v>
      </c>
      <c r="G6" s="16">
        <f>IF(2&lt;Assumptions!$B$28,Assumptions!$B$27,0)</f>
        <v>0</v>
      </c>
      <c r="H6" s="16">
        <f>(F6+G6)*(1+Assumptions!$B$12)</f>
        <v>69457.5</v>
      </c>
      <c r="I6" s="16">
        <f>K5</f>
        <v>304867.5</v>
      </c>
      <c r="J6" s="16">
        <f>IF(2&lt;Assumptions!$B$30,Assumptions!$B$29,0)</f>
        <v>10000</v>
      </c>
      <c r="K6" s="16">
        <f>(I6+J6)*(1+Assumptions!$B$12)</f>
        <v>330610.875</v>
      </c>
    </row>
    <row r="7" ht="15" customHeight="1" spans="1:11" x14ac:dyDescent="0.25">
      <c r="A7" s="14">
        <f>YEAR(TODAY())+3</f>
        <v>2029</v>
      </c>
      <c r="B7" s="15">
        <f>Assumptions!$B$4+3</f>
        <v>40</v>
      </c>
      <c r="C7" s="16">
        <f>E6</f>
        <v>246792</v>
      </c>
      <c r="D7" s="16">
        <f>IF(3&lt;Assumptions!$B$26,Assumptions!$B$25,0)</f>
        <v>0</v>
      </c>
      <c r="E7" s="16">
        <f>(C7+D7)*(1+Assumptions!$B$12)</f>
        <v>259131.6</v>
      </c>
      <c r="F7" s="16">
        <f>H6</f>
        <v>69457.5</v>
      </c>
      <c r="G7" s="16">
        <f>IF(3&lt;Assumptions!$B$28,Assumptions!$B$27,0)</f>
        <v>0</v>
      </c>
      <c r="H7" s="16">
        <f>(F7+G7)*(1+Assumptions!$B$12)</f>
        <v>72930.375</v>
      </c>
      <c r="I7" s="16">
        <f>K6</f>
        <v>330610.875</v>
      </c>
      <c r="J7" s="16">
        <f>IF(3&lt;Assumptions!$B$30,Assumptions!$B$29,0)</f>
        <v>10000</v>
      </c>
      <c r="K7" s="16">
        <f>(I7+J7)*(1+Assumptions!$B$12)</f>
        <v>357641.41875</v>
      </c>
    </row>
    <row r="8" ht="15" customHeight="1" spans="1:11" x14ac:dyDescent="0.25">
      <c r="A8" s="14">
        <f>YEAR(TODAY())+4</f>
        <v>2030</v>
      </c>
      <c r="B8" s="15">
        <f>Assumptions!$B$4+4</f>
        <v>41</v>
      </c>
      <c r="C8" s="16">
        <f>E7</f>
        <v>259131.6</v>
      </c>
      <c r="D8" s="16">
        <f>IF(4&lt;Assumptions!$B$26,Assumptions!$B$25,0)</f>
        <v>0</v>
      </c>
      <c r="E8" s="16">
        <f>(C8+D8)*(1+Assumptions!$B$12)</f>
        <v>272088.18</v>
      </c>
      <c r="F8" s="16">
        <f>H7</f>
        <v>72930.375</v>
      </c>
      <c r="G8" s="16">
        <f>IF(4&lt;Assumptions!$B$28,Assumptions!$B$27,0)</f>
        <v>0</v>
      </c>
      <c r="H8" s="16">
        <f>(F8+G8)*(1+Assumptions!$B$12)</f>
        <v>76576.89375</v>
      </c>
      <c r="I8" s="16">
        <f>K7</f>
        <v>357641.41875</v>
      </c>
      <c r="J8" s="16">
        <f>IF(4&lt;Assumptions!$B$30,Assumptions!$B$29,0)</f>
        <v>10000</v>
      </c>
      <c r="K8" s="16">
        <f>(I8+J8)*(1+Assumptions!$B$12)</f>
        <v>386023.4896875</v>
      </c>
    </row>
    <row r="9" ht="15" customHeight="1" spans="1:11" x14ac:dyDescent="0.25">
      <c r="A9" s="14">
        <f>YEAR(TODAY())+5</f>
        <v>2031</v>
      </c>
      <c r="B9" s="15">
        <f>Assumptions!$B$4+5</f>
        <v>42</v>
      </c>
      <c r="C9" s="16">
        <f>E8</f>
        <v>272088.18</v>
      </c>
      <c r="D9" s="16">
        <f>IF(5&lt;Assumptions!$B$26,Assumptions!$B$25,0)</f>
        <v>0</v>
      </c>
      <c r="E9" s="16">
        <f>(C9+D9)*(1+Assumptions!$B$12)</f>
        <v>285692.589</v>
      </c>
      <c r="F9" s="16">
        <f>H8</f>
        <v>76576.89375</v>
      </c>
      <c r="G9" s="16">
        <f>IF(5&lt;Assumptions!$B$28,Assumptions!$B$27,0)</f>
        <v>0</v>
      </c>
      <c r="H9" s="16">
        <f>(F9+G9)*(1+Assumptions!$B$12)</f>
        <v>80405.7384375</v>
      </c>
      <c r="I9" s="16">
        <f>K8</f>
        <v>386023.4896875</v>
      </c>
      <c r="J9" s="16">
        <f>IF(5&lt;Assumptions!$B$30,Assumptions!$B$29,0)</f>
        <v>10000</v>
      </c>
      <c r="K9" s="16">
        <f>(I9+J9)*(1+Assumptions!$B$12)</f>
        <v>415824.664171875</v>
      </c>
    </row>
    <row r="10" ht="15" customHeight="1" spans="1:11" x14ac:dyDescent="0.25">
      <c r="A10" s="14">
        <f>YEAR(TODAY())+6</f>
        <v>2032</v>
      </c>
      <c r="B10" s="15">
        <f>Assumptions!$B$4+6</f>
        <v>43</v>
      </c>
      <c r="C10" s="16">
        <f>E9</f>
        <v>285692.589</v>
      </c>
      <c r="D10" s="16">
        <f>IF(6&lt;Assumptions!$B$26,Assumptions!$B$25,0)</f>
        <v>0</v>
      </c>
      <c r="E10" s="16">
        <f>(C10+D10)*(1+Assumptions!$B$12)</f>
        <v>299977.21845</v>
      </c>
      <c r="F10" s="16">
        <f>H9</f>
        <v>80405.7384375</v>
      </c>
      <c r="G10" s="16">
        <f>IF(6&lt;Assumptions!$B$28,Assumptions!$B$27,0)</f>
        <v>0</v>
      </c>
      <c r="H10" s="16">
        <f>(F10+G10)*(1+Assumptions!$B$12)</f>
        <v>84426.025359375</v>
      </c>
      <c r="I10" s="16">
        <f>K9</f>
        <v>415824.664171875</v>
      </c>
      <c r="J10" s="16">
        <f>IF(6&lt;Assumptions!$B$30,Assumptions!$B$29,0)</f>
        <v>10000</v>
      </c>
      <c r="K10" s="16">
        <f>(I10+J10)*(1+Assumptions!$B$12)</f>
        <v>447115.897380469</v>
      </c>
    </row>
    <row r="11" ht="15" customHeight="1" spans="1:11" x14ac:dyDescent="0.25">
      <c r="A11" s="14">
        <f>YEAR(TODAY())+7</f>
        <v>2033</v>
      </c>
      <c r="B11" s="15">
        <f>Assumptions!$B$4+7</f>
        <v>44</v>
      </c>
      <c r="C11" s="16">
        <f>E10</f>
        <v>299977.21845</v>
      </c>
      <c r="D11" s="16">
        <f>IF(7&lt;Assumptions!$B$26,Assumptions!$B$25,0)</f>
        <v>0</v>
      </c>
      <c r="E11" s="16">
        <f>(C11+D11)*(1+Assumptions!$B$12)</f>
        <v>314976.0793725</v>
      </c>
      <c r="F11" s="16">
        <f>H10</f>
        <v>84426.025359375</v>
      </c>
      <c r="G11" s="16">
        <f>IF(7&lt;Assumptions!$B$28,Assumptions!$B$27,0)</f>
        <v>0</v>
      </c>
      <c r="H11" s="16">
        <f>(F11+G11)*(1+Assumptions!$B$12)</f>
        <v>88647.3266273438</v>
      </c>
      <c r="I11" s="16">
        <f>K10</f>
        <v>447115.897380469</v>
      </c>
      <c r="J11" s="16">
        <f>IF(7&lt;Assumptions!$B$30,Assumptions!$B$29,0)</f>
        <v>10000</v>
      </c>
      <c r="K11" s="16">
        <f>(I11+J11)*(1+Assumptions!$B$12)</f>
        <v>479971.692249492</v>
      </c>
    </row>
    <row r="12" ht="15" customHeight="1" spans="1:11" x14ac:dyDescent="0.25">
      <c r="A12" s="14">
        <f>YEAR(TODAY())+8</f>
        <v>2034</v>
      </c>
      <c r="B12" s="15">
        <f>Assumptions!$B$4+8</f>
        <v>45</v>
      </c>
      <c r="C12" s="16">
        <f>E11</f>
        <v>314976.0793725</v>
      </c>
      <c r="D12" s="16">
        <f>IF(8&lt;Assumptions!$B$26,Assumptions!$B$25,0)</f>
        <v>0</v>
      </c>
      <c r="E12" s="16">
        <f>(C12+D12)*(1+Assumptions!$B$12)</f>
        <v>330724.883341125</v>
      </c>
      <c r="F12" s="16">
        <f>H11</f>
        <v>88647.3266273438</v>
      </c>
      <c r="G12" s="16">
        <f>IF(8&lt;Assumptions!$B$28,Assumptions!$B$27,0)</f>
        <v>0</v>
      </c>
      <c r="H12" s="16">
        <f>(F12+G12)*(1+Assumptions!$B$12)</f>
        <v>93079.692958711</v>
      </c>
      <c r="I12" s="16">
        <f>K11</f>
        <v>479971.692249492</v>
      </c>
      <c r="J12" s="16">
        <f>IF(8&lt;Assumptions!$B$30,Assumptions!$B$29,0)</f>
        <v>10000</v>
      </c>
      <c r="K12" s="16">
        <f>(I12+J12)*(1+Assumptions!$B$12)</f>
        <v>514470.276861967</v>
      </c>
    </row>
    <row r="13" ht="15" customHeight="1" spans="1:11" x14ac:dyDescent="0.25">
      <c r="A13" s="14">
        <f>YEAR(TODAY())+9</f>
        <v>2035</v>
      </c>
      <c r="B13" s="15">
        <f>Assumptions!$B$4+9</f>
        <v>46</v>
      </c>
      <c r="C13" s="16">
        <f>E12</f>
        <v>330724.883341125</v>
      </c>
      <c r="D13" s="16">
        <f>IF(9&lt;Assumptions!$B$26,Assumptions!$B$25,0)</f>
        <v>0</v>
      </c>
      <c r="E13" s="16">
        <f>(C13+D13)*(1+Assumptions!$B$12)</f>
        <v>347261.127508181</v>
      </c>
      <c r="F13" s="16">
        <f>H12</f>
        <v>93079.692958711</v>
      </c>
      <c r="G13" s="16">
        <f>IF(9&lt;Assumptions!$B$28,Assumptions!$B$27,0)</f>
        <v>0</v>
      </c>
      <c r="H13" s="16">
        <f>(F13+G13)*(1+Assumptions!$B$12)</f>
        <v>97733.6776066465</v>
      </c>
      <c r="I13" s="16">
        <f>K12</f>
        <v>514470.276861967</v>
      </c>
      <c r="J13" s="16">
        <f>IF(9&lt;Assumptions!$B$30,Assumptions!$B$29,0)</f>
        <v>10000</v>
      </c>
      <c r="K13" s="16">
        <f>(I13+J13)*(1+Assumptions!$B$12)</f>
        <v>550693.790705066</v>
      </c>
    </row>
    <row r="14" ht="15" customHeight="1" spans="1:11" x14ac:dyDescent="0.25">
      <c r="A14" s="14">
        <f>YEAR(TODAY())+10</f>
        <v>2036</v>
      </c>
      <c r="B14" s="15">
        <f>Assumptions!$B$4+10</f>
        <v>47</v>
      </c>
      <c r="C14" s="16">
        <f>E13</f>
        <v>347261.127508181</v>
      </c>
      <c r="D14" s="16">
        <f>IF(10&lt;Assumptions!$B$26,Assumptions!$B$25,0)</f>
        <v>0</v>
      </c>
      <c r="E14" s="16">
        <f>(C14+D14)*(1+Assumptions!$B$12)</f>
        <v>364624.18388359</v>
      </c>
      <c r="F14" s="16">
        <f>H13</f>
        <v>97733.6776066465</v>
      </c>
      <c r="G14" s="16">
        <f>IF(10&lt;Assumptions!$B$28,Assumptions!$B$27,0)</f>
        <v>0</v>
      </c>
      <c r="H14" s="16">
        <f>(F14+G14)*(1+Assumptions!$B$12)</f>
        <v>102620.361486979</v>
      </c>
      <c r="I14" s="16">
        <f>K13</f>
        <v>550693.790705066</v>
      </c>
      <c r="J14" s="16">
        <f>IF(10&lt;Assumptions!$B$30,Assumptions!$B$29,0)</f>
        <v>10000</v>
      </c>
      <c r="K14" s="16">
        <f>(I14+J14)*(1+Assumptions!$B$12)</f>
        <v>588728.480240319</v>
      </c>
    </row>
    <row r="15" ht="15" customHeight="1" spans="1:11" x14ac:dyDescent="0.25">
      <c r="A15" s="14">
        <f>YEAR(TODAY())+11</f>
        <v>2037</v>
      </c>
      <c r="B15" s="15">
        <f>Assumptions!$B$4+11</f>
        <v>48</v>
      </c>
      <c r="C15" s="16">
        <f>E14</f>
        <v>364624.18388359</v>
      </c>
      <c r="D15" s="16">
        <f>IF(11&lt;Assumptions!$B$26,Assumptions!$B$25,0)</f>
        <v>0</v>
      </c>
      <c r="E15" s="16">
        <f>(C15+D15)*(1+Assumptions!$B$12)</f>
        <v>382855.39307777</v>
      </c>
      <c r="F15" s="16">
        <f>H14</f>
        <v>102620.361486979</v>
      </c>
      <c r="G15" s="16">
        <f>IF(11&lt;Assumptions!$B$28,Assumptions!$B$27,0)</f>
        <v>0</v>
      </c>
      <c r="H15" s="16">
        <f>(F15+G15)*(1+Assumptions!$B$12)</f>
        <v>107751.379561328</v>
      </c>
      <c r="I15" s="16">
        <f>K14</f>
        <v>588728.480240319</v>
      </c>
      <c r="J15" s="16">
        <f>IF(11&lt;Assumptions!$B$30,Assumptions!$B$29,0)</f>
        <v>10000</v>
      </c>
      <c r="K15" s="16">
        <f>(I15+J15)*(1+Assumptions!$B$12)</f>
        <v>628664.904252335</v>
      </c>
    </row>
    <row r="16" ht="15" customHeight="1" spans="1:11" x14ac:dyDescent="0.25">
      <c r="A16" s="14">
        <f>YEAR(TODAY())+12</f>
        <v>2038</v>
      </c>
      <c r="B16" s="15">
        <f>Assumptions!$B$4+12</f>
        <v>49</v>
      </c>
      <c r="C16" s="16">
        <f>E15</f>
        <v>382855.39307777</v>
      </c>
      <c r="D16" s="16">
        <f>IF(12&lt;Assumptions!$B$26,Assumptions!$B$25,0)</f>
        <v>0</v>
      </c>
      <c r="E16" s="16">
        <f>(C16+D16)*(1+Assumptions!$B$12)</f>
        <v>401998.162731658</v>
      </c>
      <c r="F16" s="16">
        <f>H15</f>
        <v>107751.379561328</v>
      </c>
      <c r="G16" s="16">
        <f>IF(12&lt;Assumptions!$B$28,Assumptions!$B$27,0)</f>
        <v>0</v>
      </c>
      <c r="H16" s="16">
        <f>(F16+G16)*(1+Assumptions!$B$12)</f>
        <v>113138.948539394</v>
      </c>
      <c r="I16" s="16">
        <f>K15</f>
        <v>628664.904252335</v>
      </c>
      <c r="J16" s="16">
        <f>IF(12&lt;Assumptions!$B$30,Assumptions!$B$29,0)</f>
        <v>10000</v>
      </c>
      <c r="K16" s="16">
        <f>(I16+J16)*(1+Assumptions!$B$12)</f>
        <v>670598.149464952</v>
      </c>
    </row>
    <row r="17" ht="15" customHeight="1" spans="1:11" x14ac:dyDescent="0.25">
      <c r="A17" s="14">
        <f>YEAR(TODAY())+13</f>
        <v>2039</v>
      </c>
      <c r="B17" s="15">
        <f>Assumptions!$B$4+13</f>
        <v>50</v>
      </c>
      <c r="C17" s="16">
        <f>E16</f>
        <v>401998.162731658</v>
      </c>
      <c r="D17" s="16">
        <f>IF(13&lt;Assumptions!$B$26,Assumptions!$B$25,0)</f>
        <v>0</v>
      </c>
      <c r="E17" s="16">
        <f>(C17+D17)*(1+Assumptions!$B$12)</f>
        <v>422098.070868241</v>
      </c>
      <c r="F17" s="16">
        <f>H16</f>
        <v>113138.948539394</v>
      </c>
      <c r="G17" s="16">
        <f>IF(13&lt;Assumptions!$B$28,Assumptions!$B$27,0)</f>
        <v>0</v>
      </c>
      <c r="H17" s="16">
        <f>(F17+G17)*(1+Assumptions!$B$12)</f>
        <v>118795.895966364</v>
      </c>
      <c r="I17" s="16">
        <f>K16</f>
        <v>670598.149464952</v>
      </c>
      <c r="J17" s="16">
        <f>IF(13&lt;Assumptions!$B$30,Assumptions!$B$29,0)</f>
        <v>0</v>
      </c>
      <c r="K17" s="16">
        <f>(I17+J17)*(1+Assumptions!$B$12)</f>
        <v>704128.056938199</v>
      </c>
    </row>
    <row r="19" ht="15" customHeight="1" spans="1:11" x14ac:dyDescent="0.25">
      <c r="A19" s="7" t="s">
        <v>56</v>
      </c>
      <c r="C19" s="4" t="s">
        <v>57</v>
      </c>
      <c r="E19" s="8">
        <f>E17</f>
        <v>422098.070868241</v>
      </c>
      <c r="F19" s="4" t="s">
        <v>58</v>
      </c>
      <c r="H19" s="8">
        <f>H17</f>
        <v>118795.895966364</v>
      </c>
      <c r="I19" s="4" t="s">
        <v>59</v>
      </c>
      <c r="K19" s="8">
        <f>K17</f>
        <v>704128.056938199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 view="normal">
      <pane ySplit="3" topLeftCell="A4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2" width="8" customWidth="1"/>
    <col min="3" max="5" width="18" customWidth="1"/>
    <col min="6" max="7" width="16" customWidth="1"/>
  </cols>
  <sheetData>
    <row r="1" ht="16.15" customHeight="1" spans="1:7" x14ac:dyDescent="0.25">
      <c r="A1" s="12" t="s">
        <v>60</v>
      </c>
      <c r="B1" s="12"/>
      <c r="C1" s="12"/>
      <c r="D1" s="12"/>
      <c r="E1" s="12"/>
      <c r="F1" s="12"/>
      <c r="G1" s="12"/>
    </row>
    <row r="3" ht="15" customHeight="1" spans="1:7" x14ac:dyDescent="0.25">
      <c r="A3" s="13" t="s">
        <v>45</v>
      </c>
      <c r="B3" s="13" t="s">
        <v>46</v>
      </c>
      <c r="C3" s="13" t="s">
        <v>61</v>
      </c>
      <c r="D3" s="13" t="s">
        <v>62</v>
      </c>
      <c r="E3" s="13" t="s">
        <v>63</v>
      </c>
      <c r="F3" s="13" t="s">
        <v>53</v>
      </c>
      <c r="G3" s="13" t="s">
        <v>55</v>
      </c>
    </row>
    <row r="4" ht="15" customHeight="1" spans="1:7" x14ac:dyDescent="0.25">
      <c r="A4" s="14">
        <f>YEAR(TODAY())+13</f>
        <v>2039</v>
      </c>
      <c r="B4" s="15">
        <f>Assumptions!$B$4+13</f>
        <v>50</v>
      </c>
      <c r="C4" s="16">
        <f>Projection!$E$17+Projection!$H$17</f>
        <v>540893.966834605</v>
      </c>
      <c r="D4" s="16">
        <f>Assumptions!$B$13</f>
        <v>50000</v>
      </c>
      <c r="E4" s="16">
        <f>MAX(0,C4-D4)*(1+Assumptions!$B$12)</f>
        <v>515438.665176336</v>
      </c>
      <c r="F4" s="16">
        <f>Projection!$K$17</f>
        <v>704128.056938199</v>
      </c>
      <c r="G4" s="16">
        <f>F4*(1+Assumptions!$B$12)</f>
        <v>739334.459785109</v>
      </c>
    </row>
    <row r="5" ht="15" customHeight="1" spans="1:7" x14ac:dyDescent="0.25">
      <c r="A5" s="14">
        <f>YEAR(TODAY())+14</f>
        <v>2040</v>
      </c>
      <c r="B5" s="15">
        <f>Assumptions!$B$4+14</f>
        <v>51</v>
      </c>
      <c r="C5" s="16">
        <f>E4</f>
        <v>515438.665176336</v>
      </c>
      <c r="D5" s="16">
        <f>Assumptions!$B$13</f>
        <v>50000</v>
      </c>
      <c r="E5" s="16">
        <f>MAX(0,C5-D5)*(1+Assumptions!$B$12)</f>
        <v>488710.598435152</v>
      </c>
      <c r="F5" s="16">
        <f>G4</f>
        <v>739334.459785109</v>
      </c>
      <c r="G5" s="16">
        <f>G4*(1+Assumptions!$B$12)</f>
        <v>776301.182774365</v>
      </c>
    </row>
    <row r="6" ht="15" customHeight="1" spans="1:7" x14ac:dyDescent="0.25">
      <c r="A6" s="14">
        <f>YEAR(TODAY())+15</f>
        <v>2041</v>
      </c>
      <c r="B6" s="15">
        <f>Assumptions!$B$4+15</f>
        <v>52</v>
      </c>
      <c r="C6" s="16">
        <f>E5</f>
        <v>488710.598435152</v>
      </c>
      <c r="D6" s="16">
        <f>Assumptions!$B$13</f>
        <v>50000</v>
      </c>
      <c r="E6" s="16">
        <f>MAX(0,C6-D6)*(1+Assumptions!$B$12)</f>
        <v>460646.12835691</v>
      </c>
      <c r="F6" s="16">
        <f>G5</f>
        <v>776301.182774365</v>
      </c>
      <c r="G6" s="16">
        <f>G5*(1+Assumptions!$B$12)</f>
        <v>815116.241913083</v>
      </c>
    </row>
    <row r="7" ht="15" customHeight="1" spans="1:7" x14ac:dyDescent="0.25">
      <c r="A7" s="14">
        <f>YEAR(TODAY())+16</f>
        <v>2042</v>
      </c>
      <c r="B7" s="15">
        <f>Assumptions!$B$4+16</f>
        <v>53</v>
      </c>
      <c r="C7" s="16">
        <f>E6</f>
        <v>460646.12835691</v>
      </c>
      <c r="D7" s="16">
        <f>Assumptions!$B$13</f>
        <v>50000</v>
      </c>
      <c r="E7" s="16">
        <f>MAX(0,C7-D7)*(1+Assumptions!$B$12)</f>
        <v>431178.434774755</v>
      </c>
      <c r="F7" s="16">
        <f>G6</f>
        <v>815116.241913083</v>
      </c>
      <c r="G7" s="16">
        <f>G6*(1+Assumptions!$B$12)</f>
        <v>855872.054008737</v>
      </c>
    </row>
    <row r="8" ht="15" customHeight="1" spans="1:7" x14ac:dyDescent="0.25">
      <c r="A8" s="14">
        <f>YEAR(TODAY())+17</f>
        <v>2043</v>
      </c>
      <c r="B8" s="15">
        <f>Assumptions!$B$4+17</f>
        <v>54</v>
      </c>
      <c r="C8" s="16">
        <f>E7</f>
        <v>431178.434774755</v>
      </c>
      <c r="D8" s="16">
        <f>Assumptions!$B$13</f>
        <v>50000</v>
      </c>
      <c r="E8" s="16">
        <f>MAX(0,C8-D8)*(1+Assumptions!$B$12)</f>
        <v>400237.356513493</v>
      </c>
      <c r="F8" s="16">
        <f>G7</f>
        <v>855872.054008737</v>
      </c>
      <c r="G8" s="16">
        <f>G7*(1+Assumptions!$B$12)</f>
        <v>898665.656709174</v>
      </c>
    </row>
    <row r="9" ht="15" customHeight="1" spans="1:7" x14ac:dyDescent="0.25">
      <c r="A9" s="14">
        <f>YEAR(TODAY())+18</f>
        <v>2044</v>
      </c>
      <c r="B9" s="15">
        <f>Assumptions!$B$4+18</f>
        <v>55</v>
      </c>
      <c r="C9" s="16">
        <f>E8</f>
        <v>400237.356513493</v>
      </c>
      <c r="D9" s="16">
        <f>Assumptions!$B$13</f>
        <v>50000</v>
      </c>
      <c r="E9" s="16">
        <f>MAX(0,C9-D9)*(1+Assumptions!$B$12)</f>
        <v>367749.224339168</v>
      </c>
      <c r="F9" s="16">
        <f>G8</f>
        <v>898665.656709174</v>
      </c>
      <c r="G9" s="16">
        <f>G8*(1+Assumptions!$B$12)</f>
        <v>943598.939544633</v>
      </c>
    </row>
    <row r="10" ht="15" customHeight="1" spans="1:7" x14ac:dyDescent="0.25">
      <c r="A10" s="14">
        <f>YEAR(TODAY())+19</f>
        <v>2045</v>
      </c>
      <c r="B10" s="15">
        <f>Assumptions!$B$4+19</f>
        <v>56</v>
      </c>
      <c r="C10" s="16">
        <f>E9</f>
        <v>367749.224339168</v>
      </c>
      <c r="D10" s="16">
        <f>Assumptions!$B$13</f>
        <v>50000</v>
      </c>
      <c r="E10" s="16">
        <f>MAX(0,C10-D10)*(1+Assumptions!$B$12)</f>
        <v>333636.685556126</v>
      </c>
      <c r="F10" s="16">
        <f>G9</f>
        <v>943598.939544633</v>
      </c>
      <c r="G10" s="16">
        <f>G9*(1+Assumptions!$B$12)</f>
        <v>990778.886521864</v>
      </c>
    </row>
    <row r="11" ht="15" customHeight="1" spans="1:7" x14ac:dyDescent="0.25">
      <c r="A11" s="14">
        <f>YEAR(TODAY())+20</f>
        <v>2046</v>
      </c>
      <c r="B11" s="15">
        <f>Assumptions!$B$4+20</f>
        <v>57</v>
      </c>
      <c r="C11" s="16">
        <f>E10</f>
        <v>333636.685556126</v>
      </c>
      <c r="D11" s="16">
        <f>Assumptions!$B$13</f>
        <v>50000</v>
      </c>
      <c r="E11" s="16">
        <f>MAX(0,C11-D11)*(1+Assumptions!$B$12)</f>
        <v>297818.519833933</v>
      </c>
      <c r="F11" s="16">
        <f>G10</f>
        <v>990778.886521864</v>
      </c>
      <c r="G11" s="16">
        <f>G10*(1+Assumptions!$B$12)</f>
        <v>1040317.83084796</v>
      </c>
    </row>
    <row r="13" ht="15" customHeight="1" spans="1:7" x14ac:dyDescent="0.25">
      <c r="A13" s="7" t="s">
        <v>64</v>
      </c>
      <c r="C13" s="4" t="s">
        <v>65</v>
      </c>
      <c r="E13" s="8">
        <f>E11</f>
        <v>297818.519833933</v>
      </c>
      <c r="F13" s="4" t="s">
        <v>66</v>
      </c>
      <c r="G13" s="8">
        <f>G11</f>
        <v>1040317.83084796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40" customWidth="1"/>
    <col min="2" max="2" width="20" customWidth="1"/>
    <col min="3" max="3" width="40" customWidth="1"/>
  </cols>
  <sheetData>
    <row r="1" ht="17.35" customHeight="1" spans="1:3" x14ac:dyDescent="0.25">
      <c r="A1" s="1" t="s">
        <v>67</v>
      </c>
      <c r="B1" s="1"/>
      <c r="C1" s="1"/>
    </row>
    <row r="3" ht="15" customHeight="1" spans="1:3" x14ac:dyDescent="0.25">
      <c r="A3" s="2" t="s">
        <v>68</v>
      </c>
      <c r="B3" s="17"/>
      <c r="C3" s="17"/>
    </row>
    <row r="4" ht="15" customHeight="1" spans="1:3" x14ac:dyDescent="0.25">
      <c r="A4" t="s">
        <v>69</v>
      </c>
      <c r="B4" s="18">
        <f>Projection!$E$17+Projection!$H$17</f>
        <v>540893.966834605</v>
      </c>
      <c r="C4" s="4" t="s">
        <v>70</v>
      </c>
    </row>
    <row r="5" ht="15" customHeight="1" spans="1:3" x14ac:dyDescent="0.25">
      <c r="A5" t="s">
        <v>71</v>
      </c>
      <c r="B5" s="18">
        <f>Projection!$K$17</f>
        <v>704128.056938199</v>
      </c>
      <c r="C5" s="4" t="s">
        <v>72</v>
      </c>
    </row>
    <row r="6" ht="15" customHeight="1" spans="1:3" x14ac:dyDescent="0.25">
      <c r="A6" t="s">
        <v>73</v>
      </c>
      <c r="B6" s="18">
        <f>'Bridge to 57'!$E$11</f>
        <v>297818.519833933</v>
      </c>
      <c r="C6" s="4" t="s">
        <v>74</v>
      </c>
    </row>
    <row r="7" ht="15" customHeight="1" spans="1:3" x14ac:dyDescent="0.25">
      <c r="A7" t="s">
        <v>75</v>
      </c>
      <c r="B7" s="18">
        <f>'Bridge to 57'!$G$11</f>
        <v>1040317.83084796</v>
      </c>
      <c r="C7" s="4" t="s">
        <v>76</v>
      </c>
    </row>
    <row r="8" ht="15" customHeight="1" spans="1:3" x14ac:dyDescent="0.25">
      <c r="A8" t="s">
        <v>77</v>
      </c>
      <c r="B8" s="18">
        <f>'Bridge to 57'!$G$11*Assumptions!$B$15</f>
        <v>36411.1240796785</v>
      </c>
      <c r="C8" s="4" t="s">
        <v>78</v>
      </c>
    </row>
    <row r="9" ht="15" customHeight="1" spans="1:3" x14ac:dyDescent="0.25">
      <c r="A9" t="s">
        <v>79</v>
      </c>
      <c r="B9" s="18">
        <f>'Bridge to 57'!$G$11*Assumptions!$B$15+Assumptions!$B$8</f>
        <v>47911.1240796785</v>
      </c>
      <c r="C9" s="4" t="s">
        <v>80</v>
      </c>
    </row>
    <row r="10" ht="15" customHeight="1" spans="1:3" x14ac:dyDescent="0.25">
      <c r="A10" t="s">
        <v>81</v>
      </c>
      <c r="B10" s="18">
        <f>Assumptions!$B$13</f>
        <v>50000</v>
      </c>
      <c r="C10" s="4" t="s">
        <v>82</v>
      </c>
    </row>
    <row r="11" ht="15" customHeight="1" spans="1:3" x14ac:dyDescent="0.25">
      <c r="A11" t="s">
        <v>83</v>
      </c>
      <c r="B11" s="8">
        <f>'Bridge to 57'!$G$11*Assumptions!$B$15-Assumptions!$B$13</f>
        <v>-13588.8759203215</v>
      </c>
      <c r="C11" s="4" t="s">
        <v>84</v>
      </c>
    </row>
    <row r="13" ht="15" customHeight="1" spans="1:1" x14ac:dyDescent="0.25">
      <c r="A13" s="7" t="s">
        <v>85</v>
      </c>
    </row>
    <row r="14" ht="15" customHeight="1" spans="1:3" x14ac:dyDescent="0.25">
      <c r="A14" s="19" t="s">
        <v>86</v>
      </c>
      <c r="B14" s="19"/>
      <c r="C14" s="19"/>
    </row>
    <row r="15" ht="15" customHeight="1" spans="1:3" x14ac:dyDescent="0.25">
      <c r="A15" s="19" t="s">
        <v>87</v>
      </c>
      <c r="B15" s="19"/>
      <c r="C15" s="19"/>
    </row>
    <row r="16" ht="15" customHeight="1" spans="1:3" x14ac:dyDescent="0.25">
      <c r="A16" s="19" t="s">
        <v>88</v>
      </c>
      <c r="B16" s="19"/>
      <c r="C16" s="19"/>
    </row>
    <row r="17" ht="15" customHeight="1" spans="1:3" x14ac:dyDescent="0.25">
      <c r="A17" s="19" t="s">
        <v>89</v>
      </c>
      <c r="B17" s="19"/>
      <c r="C17" s="19"/>
    </row>
    <row r="18" ht="15" customHeight="1" spans="1:3" x14ac:dyDescent="0.25">
      <c r="A18" s="19" t="s">
        <v>90</v>
      </c>
      <c r="B18" s="19"/>
      <c r="C18" s="19"/>
    </row>
  </sheetData>
  <mergeCells count="6">
    <mergeCell ref="A1:C1"/>
    <mergeCell ref="A14:C14"/>
    <mergeCell ref="A15:C15"/>
    <mergeCell ref="A16:C16"/>
    <mergeCell ref="A17:C17"/>
    <mergeCell ref="A18:C18"/>
  </mergeCell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Projection</vt:lpstr>
      <vt:lpstr>Bridge to 57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2026-06-22T17:56:18Z</dcterms:created>
  <dcterms:modified xsi:type="dcterms:W3CDTF">2026-06-22T17:56:19Z</dcterms:modified>
</cp:coreProperties>
</file>